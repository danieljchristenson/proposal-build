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pe Work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<sst xmlns="http://schemas.openxmlformats.org/spreadsheetml/2006/main" count="210" uniqueCount="169">
  <si>
    <t xml:space="preserve">Downtown Riverside MetroLink — Holiday Decor Rental Scope</t>
  </si>
  <si>
    <t xml:space="preserve">Prepared by St. Nick's   |   Full-Service Rental — includes install, maintenance, removal &amp; storage   |   Version 18 — Draft</t>
  </si>
  <si>
    <t xml:space="preserve">PRICING SUMMARY</t>
  </si>
  <si>
    <t xml:space="preserve">Base Scope — Year 1 Total (incl. one-time banner &amp; bracket purchases)</t>
  </si>
  <si>
    <t xml:space="preserve">Optional Enhancements — priced individually below</t>
  </si>
  <si>
    <t xml:space="preserve">BASE SCOPE — All items below are full-service rental unless noted (one-time = customer-owned)</t>
  </si>
  <si>
    <t xml:space="preserve">#</t>
  </si>
  <si>
    <t xml:space="preserve">Item</t>
  </si>
  <si>
    <t xml:space="preserve">Description / Location</t>
  </si>
  <si>
    <t xml:space="preserve">Qty</t>
  </si>
  <si>
    <t xml:space="preserve">Unit</t>
  </si>
  <si>
    <t xml:space="preserve">Price
per Unit</t>
  </si>
  <si>
    <t xml:space="preserve">Line Total</t>
  </si>
  <si>
    <t xml:space="preserve">Rendering Reference</t>
  </si>
  <si>
    <t xml:space="preserve">Materials / Build / Anchoring</t>
  </si>
  <si>
    <t xml:space="preserve">Notes / Assumptions</t>
  </si>
  <si>
    <t xml:space="preserve">Pole Banners — Purchase (One-Time)</t>
  </si>
  <si>
    <t xml:space="preserve">Customer purchases banners outright; design = 'Board The Holiday Express' artwork (2 layouts).</t>
  </si>
  <si>
    <t xml:space="preserve">ea</t>
  </si>
  <si>
    <t xml:space="preserve">Pole Banner Artwork - Holiday Express 01/02.jpg</t>
  </si>
  <si>
    <t xml:space="preserve">Heavy-duty 18oz vinyl, double-sided, hemmed edges, grommets top &amp; bottom. Wind-slits if specified.</t>
  </si>
  <si>
    <t xml:space="preserve">ONE-TIME purchase — customer owns banners. Verify pole count on site walk (35 ea estimated). Size: 24" wide × 48" tall (2:1 ratio confirmed against artwork).</t>
  </si>
  <si>
    <t xml:space="preserve">Pole Banner Brackets — Purchase (One-Time)</t>
  </si>
  <si>
    <t xml:space="preserve">Customer does not currently have brackets — needs full set installed on every pole that gets a banner</t>
  </si>
  <si>
    <t xml:space="preserve">(no rendering — hardware item)</t>
  </si>
  <si>
    <t xml:space="preserve">Powder-coated steel pole-mount brackets, top &amp; bottom arm pair, banding/strap mount type (no drilling). Stainless banding. 24" pole bracket.</t>
  </si>
  <si>
    <t xml:space="preserve">ONE-TIME purchase — customer owns brackets, reusable indefinitely. Sized to match banner size.</t>
  </si>
  <si>
    <t xml:space="preserve">Pole Banner Install / Removal (Annual)</t>
  </si>
  <si>
    <t xml:space="preserve">Annual install at season start + removal at season end on all poles</t>
  </si>
  <si>
    <t xml:space="preserve">Pole Banner - Happy Holidays.png</t>
  </si>
  <si>
    <t xml:space="preserve">Bucket-truck access; field labor with banner storage between seasons.</t>
  </si>
  <si>
    <t xml:space="preserve">ANNUAL service — billed each season. Includes storage of customer-owned banners between seasons.</t>
  </si>
  <si>
    <t xml:space="preserve">Canopy String Lighting — Metrolink Platform Canopies</t>
  </si>
  <si>
    <t xml:space="preserve">Warm white string lighting on canopy eave perimeter — 16 standard Metrolink canopies (21' × 12' = 64 LF perimeter each)</t>
  </si>
  <si>
    <t xml:space="preserve">LF</t>
  </si>
  <si>
    <t xml:space="preserve">Evening Lighting - Station Awning 01.png</t>
  </si>
  <si>
    <t xml:space="preserve">Commercial-grade C9 LED warm white, on poly cord, w/ inline timers + GFCI tap-ins. Mount via clip into eave/fascia.</t>
  </si>
  <si>
    <t xml:space="preserve">16 canopies × 64 LF = 1,024 LF (per Jonathan Yang). INSTALL TIMING: invisible work installed prior to Nov 1; plugged in to go live when holiday decor is installed.</t>
  </si>
  <si>
    <t xml:space="preserve">Canopy String Lighting — Bus Stop Waiting Canopies</t>
  </si>
  <si>
    <t xml:space="preserve">Warm white string lighting on canopy eave perimeter — 2 large bus stop canopies (45' × 14' = 117 LF each)</t>
  </si>
  <si>
    <t xml:space="preserve">Same C9 LED warm white. Larger canopies may require lift access for install.</t>
  </si>
  <si>
    <t xml:space="preserve">2 canopies × 117 LF = 234 LF (per Jonathan Yang). Same install timing as line item #4 (invisible work prior to Nov 1).</t>
  </si>
  <si>
    <t xml:space="preserve">Lighted Garlands — Undecorated Swag (Front Gate / Perimeter Fence)</t>
  </si>
  <si>
    <t xml:space="preserve">Undecorated swagged lighted evergreen garland on perimeter fencing including front gate at station entrance</t>
  </si>
  <si>
    <t xml:space="preserve">Garlands - Undecorated Swag - Plaza Fence.png</t>
  </si>
  <si>
    <t xml:space="preserve">PVC pine garland (14" girth, commercial-grade) with mini lights pre-strung, zip-tied to wrought-iron fence panels. 9 ft sections, swagged between attachment points.</t>
  </si>
  <si>
    <t xml:space="preserve">550 × 1.12 swag → 615 → rounded UP to 621 LF (69 sections × 9 ft) (per Jonathan Yang)</t>
  </si>
  <si>
    <t xml:space="preserve">Lighted Garlands — Undecorated Swag (Building Eave)</t>
  </si>
  <si>
    <t xml:space="preserve">Undecorated swagged lighted evergreen garland on the station building eave / roof edge</t>
  </si>
  <si>
    <t xml:space="preserve">Large Tree - Traditional Ornaments.png (shared)</t>
  </si>
  <si>
    <t xml:space="preserve">PVC pine garland (14" girth) w/ mini lights. Higher install difficulty — eave height requires lift; eave-clip mounts.</t>
  </si>
  <si>
    <t xml:space="preserve">125 × 1.12 swag → 140 → rounded UP to 144 LF (16 sections × 9 ft). Higher install difficulty → higher unit price.</t>
  </si>
  <si>
    <t xml:space="preserve">Lighted Garlands — Undecorated Swag (Center Driveway Gates)</t>
  </si>
  <si>
    <t xml:space="preserve">Undecorated swagged lighted evergreen garland on the gates running down the center driveway / station entrance area</t>
  </si>
  <si>
    <t xml:space="preserve">PVC pine garland (14" girth) w/ mini lights, zip-tied to gate panels. 9 ft sections.</t>
  </si>
  <si>
    <t xml:space="preserve">230 × 1.12 swag → 258 → rounded UP to 261 LF (29 sections × 9 ft). Ground-level install (no ladder)</t>
  </si>
  <si>
    <t xml:space="preserve">Lighted Wreaths — Station Entrance (5 ft)</t>
  </si>
  <si>
    <t xml:space="preserve">Fully-decorated 5 ft lighted wreaths at station entrance — between brick columns</t>
  </si>
  <si>
    <t xml:space="preserve">Wreaths - Station Entrance 01.png</t>
  </si>
  <si>
    <t xml:space="preserve">5 ft commercial wreath with realistic pine greenery (PVC tips, NOT mesh). Pre-lit warm white LED, decorated with red/green/gold ornaments + red bow. Center-mast or column hook mount.</t>
  </si>
  <si>
    <t xml:space="preserve">Quantity to confirm on site walk; placeholder = 4.</t>
  </si>
  <si>
    <t xml:space="preserve">Lighted Wreath — Stair Tower (10 ft)</t>
  </si>
  <si>
    <t xml:space="preserve">Oversized 10 ft fully-decorated lighted wreath on the side of the stair tower brick column</t>
  </si>
  <si>
    <t xml:space="preserve">Wreath - Brick Column with Garlands.png</t>
  </si>
  <si>
    <t xml:space="preserve">10 ft commercial wreath with realistic pine greenery (PVC tips, NOT mesh). Pre-lit warm white LED, decorated. Heavy-duty mast bracket mount, lift required for install.</t>
  </si>
  <si>
    <t xml:space="preserve">Single feature wreath at tower scale. ANCHORING: needs site walk + customer approval — likely drill into brick or find anchoring on roof. Pending customer approval for anchoring method.</t>
  </si>
  <si>
    <t xml:space="preserve">Large Lighted Tree (Centerpiece)</t>
  </si>
  <si>
    <t xml:space="preserve">Traditional artificial Christmas tree with red, green &amp; gold ornaments — plaza centerpiece in front of station entrance</t>
  </si>
  <si>
    <t xml:space="preserve">Large Tree - Traditional Ornaments.png</t>
  </si>
  <si>
    <t xml:space="preserve">18 ft commercial PVC tree on steel frame; pre-lit warm white LED; ornaments (red/green/gold mix); 2 ft LED tree topper. Anchored via ground-mount base / staked tie-downs. Weighted with interior ballasts; water barrels need access to a spigot close by.</t>
  </si>
  <si>
    <t xml:space="preserve">Tree alternates: see E5 (Spiral LED — replaces in Signature) and E6 (Gift Box Tower — added at new location in Signature). Rendering also shows Building Eave Garland and Station Entrance Wreaths.</t>
  </si>
  <si>
    <t xml:space="preserve">Walk-Through Lighted Ornament (Warm White)</t>
  </si>
  <si>
    <t xml:space="preserve">Oversized warm-white lighted ornament w/ walk-through arch + companion small ornament — bus loading island feature</t>
  </si>
  <si>
    <t xml:space="preserve">Walk-Through Ornament - Warm White.png</t>
  </si>
  <si>
    <t xml:space="preserve">Steel armature w/ warm white LED net wrap and PVC mesh; walk-through arch large ornament + smaller solid ornament. Ground-anchored via stake/sandbag.</t>
  </si>
  <si>
    <t xml:space="preserve">Single feature display, warm white per direction.</t>
  </si>
  <si>
    <t xml:space="preserve">BASE SCOPE TOTAL — Year 1 (incl. one-time purchases)</t>
  </si>
  <si>
    <t xml:space="preserve">OPTIONAL ENHANCEMENTS — priced individually as à la carte add-ons (rental, full-service unless noted)</t>
  </si>
  <si>
    <t xml:space="preserve">E1</t>
  </si>
  <si>
    <t xml:space="preserve">Lighted Snowflakes — Railing Mounted</t>
  </si>
  <si>
    <t xml:space="preserve">Lighted snowflake fixtures along bridge / platform railings</t>
  </si>
  <si>
    <t xml:space="preserve">Lighted Snowflakes - Railing 01.png</t>
  </si>
  <si>
    <t xml:space="preserve">Aluminum-frame warm white rope light snowflakes (no PVC mesh), 30" diameter. Pole-clamp mount to railing top rail. Animated twinkle.</t>
  </si>
  <si>
    <t xml:space="preserve">Snowflakes attached to fence; need access to power close by. Included in Enhanced + Signature tiers.</t>
  </si>
  <si>
    <t xml:space="preserve">E2</t>
  </si>
  <si>
    <t xml:space="preserve">Walk-Through Lighted Gift Box</t>
  </si>
  <si>
    <t xml:space="preserve">Oversized lighted gift box archway with red bow — additional pedestrian walk-through feature</t>
  </si>
  <si>
    <t xml:space="preserve">Walk-Through Display - Lighted Gift Box.png</t>
  </si>
  <si>
    <t xml:space="preserve">12 ft tall steel frame w/ LED lights and PVC mesh, large red bow accent. Ground-anchored.</t>
  </si>
  <si>
    <t xml:space="preserve">Photo-op anchor; high social media value. Included in Enhanced + Signature tiers.</t>
  </si>
  <si>
    <t xml:space="preserve">E3</t>
  </si>
  <si>
    <t xml:space="preserve">Lighted 'City of Riverside' Bell Display — Purchase (One-Time)</t>
  </si>
  <si>
    <t xml:space="preserve">Custom lighted Mission Inn-style bell with branded 'City of Riverside' base — one-time purchase by city</t>
  </si>
  <si>
    <t xml:space="preserve">Lighted Bell Display - Closeup.png</t>
  </si>
  <si>
    <t xml:space="preserve">Custom-fabricated steel armature, warm white LED lights + rope light, PVC mesh, branded acrylic 'City of Riverside' base panel. Ground-anchored, requires power circuit.</t>
  </si>
  <si>
    <t xml:space="preserve">ONE-TIME purchase — custom item owned by city. Longest lead time of all options. Included in Signature tier only.</t>
  </si>
  <si>
    <t xml:space="preserve">E4</t>
  </si>
  <si>
    <t xml:space="preserve">Lighted 'City of Riverside' Bell Display — Annual Installation</t>
  </si>
  <si>
    <t xml:space="preserve">Annual install + removal of the Bell Display each season</t>
  </si>
  <si>
    <t xml:space="preserve">Field labor: position, anchor, electrical tie-in, season-end removal.</t>
  </si>
  <si>
    <t xml:space="preserve">ANNUAL service — billed each season. Pairs with E3 + E5.</t>
  </si>
  <si>
    <t xml:space="preserve">E5</t>
  </si>
  <si>
    <t xml:space="preserve">Lighted 'City of Riverside' Bell Display — Annual Storage</t>
  </si>
  <si>
    <t xml:space="preserve">Off-season climate-controlled storage of the customer-owned Bell Display</t>
  </si>
  <si>
    <t xml:space="preserve">Crated storage at St. Nick's facility between seasons. Ships fragile; custom item.</t>
  </si>
  <si>
    <t xml:space="preserve">ANNUAL service — separate from rental items because Bell Display is customer-owned.</t>
  </si>
  <si>
    <t xml:space="preserve">E6</t>
  </si>
  <si>
    <t xml:space="preserve">Spiral LED Tree (Alt. Tree — replaces Traditional in Signature)</t>
  </si>
  <si>
    <t xml:space="preserve">Red &amp; green LED spiral tree with gold star topper — REPLACES base scope Large Lighted Tree in Signature tier</t>
  </si>
  <si>
    <t xml:space="preserve">Spiral Tree - LED Red Green.png</t>
  </si>
  <si>
    <t xml:space="preserve">21 ft steel-frame cone w/ LED spiral wraps (alternating red/green) plus warm white rope light, PVC mesh, lighted star topper. Slim 8 ft base. Ground-anchored.</t>
  </si>
  <si>
    <t xml:space="preserve">Substitute for base 'Large Lighted Tree' — deduct base tree if selected. Included in Signature tier (replaces Traditional Tree).</t>
  </si>
  <si>
    <t xml:space="preserve">E7</t>
  </si>
  <si>
    <t xml:space="preserve">Lighted Gift Box Tower (Add-On at New Location)</t>
  </si>
  <si>
    <t xml:space="preserve">Stacked oversized lighted gift box pyramid — added at a new location (TBD: location to be selected)</t>
  </si>
  <si>
    <t xml:space="preserve">Lighted Gift Box Tower 01.png</t>
  </si>
  <si>
    <t xml:space="preserve">12 ft tall, multiple stacked aluminum-frame gift boxes w/ LED net wrap and PVC mesh (red/green/white mix). Ground-anchored.</t>
  </si>
  <si>
    <t xml:space="preserve">NOT a substitute for Traditional Tree — placed at separate location. Included in Signature tier.</t>
  </si>
  <si>
    <t xml:space="preserve">E8</t>
  </si>
  <si>
    <t xml:space="preserve">Decorated Garland Upgrade — Front Gate / Perimeter Fence</t>
  </si>
  <si>
    <t xml:space="preserve">Adds red, green &amp; gold ornaments to base undecorated garland on the front gate / perimeter fence (ground level)</t>
  </si>
  <si>
    <t xml:space="preserve">Garlands - Decorated Swag - Plaza Fence.png</t>
  </si>
  <si>
    <t xml:space="preserve">Adds red/green/gold ornament clusters and bows to base undecorated garland (14" girth, 9 ft sections); field-attached during install.</t>
  </si>
  <si>
    <t xml:space="preserve">Incremental upgrade cost per LF on top of base scope line item #6. Included in Enhanced + Signature tiers.</t>
  </si>
  <si>
    <t xml:space="preserve">E9</t>
  </si>
  <si>
    <t xml:space="preserve">Decorated Garland Upgrade — Building Eave</t>
  </si>
  <si>
    <t xml:space="preserve">Adds red, green &amp; gold ornaments to base undecorated garland on the building eave (elevated install)</t>
  </si>
  <si>
    <t xml:space="preserve">Adds red/green/gold ornament clusters and bows to base undecorated garland; field-attached during install. Higher unit price = elevated install difficulty (eave height, lift required).</t>
  </si>
  <si>
    <t xml:space="preserve">Incremental upgrade cost per LF on top of base scope line item #7. Included in Enhanced + Signature tiers.</t>
  </si>
  <si>
    <t xml:space="preserve">E10</t>
  </si>
  <si>
    <t xml:space="preserve">Decorated Garland Upgrade — Center Driveway Gates</t>
  </si>
  <si>
    <t xml:space="preserve">Adds red, green &amp; gold ornaments to base undecorated garland on center driveway gates (ground level)</t>
  </si>
  <si>
    <t xml:space="preserve">Adds red/green/gold ornament clusters and bows to base undecorated garland; field-attached during install.</t>
  </si>
  <si>
    <t xml:space="preserve">Incremental upgrade cost per LF on top of base scope line item #8. $43/LF (ground level, no ladder access required). Included in Enhanced + Signature tiers.</t>
  </si>
  <si>
    <t xml:space="preserve">E11</t>
  </si>
  <si>
    <t xml:space="preserve">Happy Holidays Skyline Sign</t>
  </si>
  <si>
    <t xml:space="preserve">Illuminated overhead 'Happy Holidays' marquee sign with skyline silhouette — mounted at station entrance between brick columns</t>
  </si>
  <si>
    <t xml:space="preserve">12 ft custom-fabricated steel sign w/ PVC mesh, warm white channel-letter LED + rope light. Span-mount between columns w/ aircraft cable.</t>
  </si>
  <si>
    <t xml:space="preserve">Custom signage element — lead time applies. Included in Enhanced + Signature tiers.</t>
  </si>
  <si>
    <t xml:space="preserve">E12</t>
  </si>
  <si>
    <t xml:space="preserve">Garland on Staircase Tower &amp; Railing — Undecorated Swag</t>
  </si>
  <si>
    <t xml:space="preserve">Undecorated swagged lighted garland on the metal staircase tower (160 LF) and the railing in front of the tower (25 LF)</t>
  </si>
  <si>
    <t xml:space="preserve">(rendering not yet produced)</t>
  </si>
  <si>
    <t xml:space="preserve">PVC pine garland (14" girth) w/ mini lights, zip-tied to staircase rails / tower frame. Installable without ladder access.</t>
  </si>
  <si>
    <t xml:space="preserve">Tower (160 LF) + railing (25 LF) = 180 × 1.12 swag → 202 → rounded UP to 207 LF (23 sections × 9 ft). Available as standalone undecorated; or pair with E13 for decorated.</t>
  </si>
  <si>
    <t xml:space="preserve">E13</t>
  </si>
  <si>
    <t xml:space="preserve">Decorated Garland Upgrade — Staircase Tower &amp; Railing</t>
  </si>
  <si>
    <t xml:space="preserve">Adds red, green &amp; gold ornaments to staircase tower garland (E12) — incremental cost over E12</t>
  </si>
  <si>
    <t xml:space="preserve">Adds ornament clusters and bows to E12 garland.</t>
  </si>
  <si>
    <t xml:space="preserve">$43/LF — confirmed installable without ladder access. Included in Enhanced + Signature tiers (paired with E12).</t>
  </si>
  <si>
    <t xml:space="preserve">If ALL Enhancements Selected</t>
  </si>
  <si>
    <t xml:space="preserve">TIER SCENARIOS</t>
  </si>
  <si>
    <t xml:space="preserve">ESSENTIAL — Base Scope Only</t>
  </si>
  <si>
    <t xml:space="preserve">ENHANCED ⭐ — Base + Decorated Garland + Snowflakes + Gift Box + Sign + Staircase Garland (Decorated)</t>
  </si>
  <si>
    <t xml:space="preserve">SIGNATURE — Enhanced + Bell Display + Spiral LED Tree (replaces Traditional) + Gift Box Tower (new location)</t>
  </si>
  <si>
    <t xml:space="preserve">LEGEND &amp; ASSUMPTIONS</t>
  </si>
  <si>
    <t xml:space="preserve">• ALL rental items include: power/electrical, install, season maintenance, removal, and off-season storage. The ONLY exception is the Bell Display (E3-E5), which has separate Purchase, Install, and Storage lines because it is a customer-owned custom item.</t>
  </si>
  <si>
    <t xml:space="preserve">• Base scope = full-service annual rental UNLESS marked 'One-Time' (banner &amp; bracket = customer-owned).</t>
  </si>
  <si>
    <t xml:space="preserve">• Yellow cells = inputs (Qty, Price/Unit). Blue text = hardcoded inputs; black text = calculated formulas.</t>
  </si>
  <si>
    <t xml:space="preserve">• Pole Banners split into 3 lines: (a) Banner Purchase one-time (24"×48" size), (b) Bracket Purchase one-time (customer has none currently), (c) Annual Install/Removal.</t>
  </si>
  <si>
    <t xml:space="preserve">• Bell Display split into 3 lines: (a) Purchase one-time (customer-owned), (b) Annual Install/Removal, (c) Annual Storage. Included in Signature tier only.</t>
  </si>
  <si>
    <t xml:space="preserve">• Garland: 9 ft sections, 14" girth commercial-grade. Measurements include +12% swag and rounded UP to nearest multiple of 9.</t>
  </si>
  <si>
    <t xml:space="preserve">• Garland qtys: Front Gate/Perimeter 621 LF; Building Eave 144 LF; Center Driveway Gates 261 LF; Staircase Tower &amp; Railing 207 LF (per Jonathan Yang).</t>
  </si>
  <si>
    <t xml:space="preserve">• Decorated garland pricing policy: $43/LF when installable WITHOUT ladder access (perimeter fence, center driveway gates, staircase). $46/LF for building eave (lift required).</t>
  </si>
  <si>
    <t xml:space="preserve">• Canopy lighting (1,258 LF total) installed as 'invisible work' prior to Nov 1; plugged in to go live with rest of decor.</t>
  </si>
  <si>
    <t xml:space="preserve">• 10 ft Stair Tower Wreath: anchoring TBD (drill brick OR roof anchor) — pending site walk + customer approval.</t>
  </si>
  <si>
    <t xml:space="preserve">• Tier model: Essential = base scope undecorated; Enhanced = base scope decorated + Snowflakes + Walk-Through Gift Box + Happy Holidays Sign + Staircase Garland (decorated); Signature = Enhanced + Bell Display + Gift Box Tower at new location + Spiral LED Tree (replaces Traditional).</t>
  </si>
  <si>
    <t xml:space="preserve">• Pole banner artwork (24" × 48") confirmed at 2:1 aspect ratio — matches Holiday Express artwork files.</t>
  </si>
  <si>
    <t xml:space="preserve">• Center Driveway Gates Undecorated priced at $24/LF (matches Front Gate / Perimeter Fence ground-level pricing).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</si>
</sst>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\$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10"/>
      <color rgb="FF40404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FFF2CC"/>
        <bgColor rgb="FFFFFFFF"/>
      </patternFill>
    </fill>
    <fill>
      <patternFill patternType="solid">
        <fgColor rgb="FFA9D08E"/>
        <bgColor rgb="FFBFBFBF"/>
      </patternFill>
    </fill>
    <fill>
      <patternFill patternType="solid">
        <fgColor rgb="FFC65911"/>
        <bgColor rgb="FF993300"/>
      </patternFill>
    </fill>
    <fill>
      <patternFill patternType="solid">
        <fgColor rgb="FFDDEBF7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08E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65911"/>
      <rgbColor rgb="FF595959"/>
      <rgbColor rgb="FF969696"/>
      <rgbColor rgb="FF1F3864"/>
      <rgbColor rgb="FF339966"/>
      <rgbColor rgb="FF003300"/>
      <rgbColor rgb="FF40404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6"/>
    <col collapsed="false" customWidth="true" hidden="false" outlineLevel="0" max="3" min="3" style="1" width="42"/>
    <col collapsed="false" customWidth="true" hidden="false" outlineLevel="0" max="4" min="4" style="1" width="9"/>
    <col collapsed="false" customWidth="true" hidden="false" outlineLevel="0" max="5" min="5" style="1" width="8"/>
    <col collapsed="false" customWidth="true" hidden="false" outlineLevel="0" max="7" min="6" style="1" width="14"/>
    <col collapsed="false" customWidth="true" hidden="false" outlineLevel="0" max="9" min="8" style="1" width="34"/>
    <col collapsed="false" customWidth="true" hidden="false" outlineLevel="0" max="10" min="10" style="1" width="30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1.7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15" hidden="false" customHeight="true" outlineLevel="0" collapsed="false">
      <c r="B5" s="5" t="s">
        <v>3</v>
      </c>
      <c r="G5" s="6" t="n">
        <f aca="false">G22</f>
        <v>88906</v>
      </c>
    </row>
    <row r="6" customFormat="false" ht="15" hidden="false" customHeight="true" outlineLevel="0" collapsed="false">
      <c r="B6" s="7" t="s">
        <v>4</v>
      </c>
    </row>
    <row r="8" customFormat="false" ht="21.75" hidden="false" customHeight="true" outlineLevel="0" collapsed="false">
      <c r="A8" s="4" t="s">
        <v>5</v>
      </c>
      <c r="B8" s="4"/>
      <c r="C8" s="4"/>
      <c r="D8" s="4"/>
      <c r="E8" s="4"/>
      <c r="F8" s="4"/>
      <c r="G8" s="4"/>
      <c r="H8" s="4"/>
      <c r="I8" s="4"/>
      <c r="J8" s="4"/>
    </row>
    <row r="9" customFormat="false" ht="31.5" hidden="false" customHeight="true" outlineLevel="0" collapsed="false">
      <c r="A9" s="8" t="s">
        <v>6</v>
      </c>
      <c r="B9" s="8" t="s">
        <v>7</v>
      </c>
      <c r="C9" s="8" t="s">
        <v>8</v>
      </c>
      <c r="D9" s="8" t="s">
        <v>9</v>
      </c>
      <c r="E9" s="8" t="s">
        <v>10</v>
      </c>
      <c r="F9" s="8" t="s">
        <v>11</v>
      </c>
      <c r="G9" s="8" t="s">
        <v>12</v>
      </c>
      <c r="H9" s="8" t="s">
        <v>13</v>
      </c>
      <c r="I9" s="8" t="s">
        <v>14</v>
      </c>
      <c r="J9" s="8" t="s">
        <v>15</v>
      </c>
    </row>
    <row r="10" customFormat="false" ht="63.75" hidden="false" customHeight="true" outlineLevel="0" collapsed="false">
      <c r="A10" s="9" t="n">
        <v>1</v>
      </c>
      <c r="B10" s="10" t="s">
        <v>16</v>
      </c>
      <c r="C10" s="11" t="s">
        <v>17</v>
      </c>
      <c r="D10" s="12" t="n">
        <v>35</v>
      </c>
      <c r="E10" s="9" t="s">
        <v>18</v>
      </c>
      <c r="F10" s="13" t="n">
        <v>89</v>
      </c>
      <c r="G10" s="14" t="n">
        <f aca="false">D10*F10</f>
        <v>3115</v>
      </c>
      <c r="H10" s="15" t="s">
        <v>19</v>
      </c>
      <c r="I10" s="16" t="s">
        <v>20</v>
      </c>
      <c r="J10" s="15" t="s">
        <v>21</v>
      </c>
    </row>
    <row r="11" customFormat="false" ht="63.75" hidden="false" customHeight="true" outlineLevel="0" collapsed="false">
      <c r="A11" s="9" t="n">
        <v>2</v>
      </c>
      <c r="B11" s="10" t="s">
        <v>22</v>
      </c>
      <c r="C11" s="11" t="s">
        <v>23</v>
      </c>
      <c r="D11" s="12" t="n">
        <v>35</v>
      </c>
      <c r="E11" s="9" t="s">
        <v>18</v>
      </c>
      <c r="F11" s="13" t="n">
        <v>120</v>
      </c>
      <c r="G11" s="14" t="n">
        <f aca="false">D11*F11</f>
        <v>4200</v>
      </c>
      <c r="H11" s="15" t="s">
        <v>24</v>
      </c>
      <c r="I11" s="16" t="s">
        <v>25</v>
      </c>
      <c r="J11" s="15" t="s">
        <v>26</v>
      </c>
    </row>
    <row r="12" customFormat="false" ht="63.75" hidden="false" customHeight="true" outlineLevel="0" collapsed="false">
      <c r="A12" s="9" t="n">
        <v>3</v>
      </c>
      <c r="B12" s="10" t="s">
        <v>27</v>
      </c>
      <c r="C12" s="11" t="s">
        <v>28</v>
      </c>
      <c r="D12" s="12" t="n">
        <v>35</v>
      </c>
      <c r="E12" s="9" t="s">
        <v>18</v>
      </c>
      <c r="F12" s="13" t="n">
        <v>125</v>
      </c>
      <c r="G12" s="14" t="n">
        <f aca="false">D12*F12</f>
        <v>4375</v>
      </c>
      <c r="H12" s="15" t="s">
        <v>29</v>
      </c>
      <c r="I12" s="16" t="s">
        <v>30</v>
      </c>
      <c r="J12" s="15" t="s">
        <v>31</v>
      </c>
    </row>
    <row r="13" customFormat="false" ht="63.75" hidden="false" customHeight="true" outlineLevel="0" collapsed="false">
      <c r="A13" s="9" t="n">
        <v>4</v>
      </c>
      <c r="B13" s="10" t="s">
        <v>32</v>
      </c>
      <c r="C13" s="11" t="s">
        <v>33</v>
      </c>
      <c r="D13" s="12" t="n">
        <v>1024</v>
      </c>
      <c r="E13" s="9" t="s">
        <v>34</v>
      </c>
      <c r="F13" s="13" t="n">
        <v>12.5</v>
      </c>
      <c r="G13" s="14" t="n">
        <f aca="false">D13*F13</f>
        <v>12800</v>
      </c>
      <c r="H13" s="15" t="s">
        <v>35</v>
      </c>
      <c r="I13" s="16" t="s">
        <v>36</v>
      </c>
      <c r="J13" s="15" t="s">
        <v>37</v>
      </c>
    </row>
    <row r="14" customFormat="false" ht="63.75" hidden="false" customHeight="true" outlineLevel="0" collapsed="false">
      <c r="A14" s="9" t="n">
        <v>5</v>
      </c>
      <c r="B14" s="10" t="s">
        <v>38</v>
      </c>
      <c r="C14" s="11" t="s">
        <v>39</v>
      </c>
      <c r="D14" s="12" t="n">
        <v>234</v>
      </c>
      <c r="E14" s="9" t="s">
        <v>34</v>
      </c>
      <c r="F14" s="13" t="n">
        <v>12.5</v>
      </c>
      <c r="G14" s="14" t="n">
        <f aca="false">D14*F14</f>
        <v>2925</v>
      </c>
      <c r="H14" s="15" t="s">
        <v>35</v>
      </c>
      <c r="I14" s="16" t="s">
        <v>40</v>
      </c>
      <c r="J14" s="15" t="s">
        <v>41</v>
      </c>
    </row>
    <row r="15" customFormat="false" ht="63.75" hidden="false" customHeight="true" outlineLevel="0" collapsed="false">
      <c r="A15" s="9" t="n">
        <v>6</v>
      </c>
      <c r="B15" s="10" t="s">
        <v>42</v>
      </c>
      <c r="C15" s="11" t="s">
        <v>43</v>
      </c>
      <c r="D15" s="12" t="n">
        <v>621</v>
      </c>
      <c r="E15" s="9" t="s">
        <v>34</v>
      </c>
      <c r="F15" s="13" t="n">
        <v>24</v>
      </c>
      <c r="G15" s="14" t="n">
        <f aca="false">D15*F15</f>
        <v>14904</v>
      </c>
      <c r="H15" s="15" t="s">
        <v>44</v>
      </c>
      <c r="I15" s="16" t="s">
        <v>45</v>
      </c>
      <c r="J15" s="15" t="s">
        <v>46</v>
      </c>
    </row>
    <row r="16" customFormat="false" ht="63.75" hidden="false" customHeight="true" outlineLevel="0" collapsed="false">
      <c r="A16" s="9" t="n">
        <v>7</v>
      </c>
      <c r="B16" s="10" t="s">
        <v>47</v>
      </c>
      <c r="C16" s="11" t="s">
        <v>48</v>
      </c>
      <c r="D16" s="12" t="n">
        <v>144</v>
      </c>
      <c r="E16" s="9" t="s">
        <v>34</v>
      </c>
      <c r="F16" s="13" t="n">
        <v>31</v>
      </c>
      <c r="G16" s="14" t="n">
        <f aca="false">D16*F16</f>
        <v>4464</v>
      </c>
      <c r="H16" s="15" t="s">
        <v>49</v>
      </c>
      <c r="I16" s="16" t="s">
        <v>50</v>
      </c>
      <c r="J16" s="15" t="s">
        <v>51</v>
      </c>
    </row>
    <row r="17" customFormat="false" ht="63.75" hidden="false" customHeight="true" outlineLevel="0" collapsed="false">
      <c r="A17" s="9" t="n">
        <v>8</v>
      </c>
      <c r="B17" s="10" t="s">
        <v>52</v>
      </c>
      <c r="C17" s="11" t="s">
        <v>53</v>
      </c>
      <c r="D17" s="12" t="n">
        <v>261</v>
      </c>
      <c r="E17" s="9" t="s">
        <v>34</v>
      </c>
      <c r="F17" s="13" t="n">
        <v>24</v>
      </c>
      <c r="G17" s="14" t="n">
        <f aca="false">D17*F17</f>
        <v>6264</v>
      </c>
      <c r="H17" s="15" t="s">
        <v>44</v>
      </c>
      <c r="I17" s="16" t="s">
        <v>54</v>
      </c>
      <c r="J17" s="15" t="s">
        <v>55</v>
      </c>
    </row>
    <row r="18" customFormat="false" ht="63.75" hidden="false" customHeight="true" outlineLevel="0" collapsed="false">
      <c r="A18" s="9" t="n">
        <v>9</v>
      </c>
      <c r="B18" s="10" t="s">
        <v>56</v>
      </c>
      <c r="C18" s="11" t="s">
        <v>57</v>
      </c>
      <c r="D18" s="12" t="n">
        <v>4</v>
      </c>
      <c r="E18" s="9" t="s">
        <v>18</v>
      </c>
      <c r="F18" s="13" t="n">
        <v>785</v>
      </c>
      <c r="G18" s="14" t="n">
        <f aca="false">D18*F18</f>
        <v>3140</v>
      </c>
      <c r="H18" s="15" t="s">
        <v>58</v>
      </c>
      <c r="I18" s="16" t="s">
        <v>59</v>
      </c>
      <c r="J18" s="15" t="s">
        <v>60</v>
      </c>
    </row>
    <row r="19" customFormat="false" ht="63.75" hidden="false" customHeight="true" outlineLevel="0" collapsed="false">
      <c r="A19" s="9" t="n">
        <v>10</v>
      </c>
      <c r="B19" s="10" t="s">
        <v>61</v>
      </c>
      <c r="C19" s="11" t="s">
        <v>62</v>
      </c>
      <c r="D19" s="12" t="n">
        <v>1</v>
      </c>
      <c r="E19" s="9" t="s">
        <v>18</v>
      </c>
      <c r="F19" s="13" t="n">
        <v>4200</v>
      </c>
      <c r="G19" s="14" t="n">
        <f aca="false">D19*F19</f>
        <v>4200</v>
      </c>
      <c r="H19" s="15" t="s">
        <v>63</v>
      </c>
      <c r="I19" s="16" t="s">
        <v>64</v>
      </c>
      <c r="J19" s="15" t="s">
        <v>65</v>
      </c>
    </row>
    <row r="20" customFormat="false" ht="63.75" hidden="false" customHeight="true" outlineLevel="0" collapsed="false">
      <c r="A20" s="9" t="n">
        <v>11</v>
      </c>
      <c r="B20" s="10" t="s">
        <v>66</v>
      </c>
      <c r="C20" s="11" t="s">
        <v>67</v>
      </c>
      <c r="D20" s="12" t="n">
        <v>1</v>
      </c>
      <c r="E20" s="9" t="s">
        <v>18</v>
      </c>
      <c r="F20" s="13" t="n">
        <v>18654</v>
      </c>
      <c r="G20" s="14" t="n">
        <f aca="false">D20*F20</f>
        <v>18654</v>
      </c>
      <c r="H20" s="15" t="s">
        <v>68</v>
      </c>
      <c r="I20" s="16" t="s">
        <v>69</v>
      </c>
      <c r="J20" s="15" t="s">
        <v>70</v>
      </c>
    </row>
    <row r="21" customFormat="false" ht="63.75" hidden="false" customHeight="true" outlineLevel="0" collapsed="false">
      <c r="A21" s="9" t="n">
        <v>12</v>
      </c>
      <c r="B21" s="10" t="s">
        <v>71</v>
      </c>
      <c r="C21" s="11" t="s">
        <v>72</v>
      </c>
      <c r="D21" s="12" t="n">
        <v>1</v>
      </c>
      <c r="E21" s="9" t="s">
        <v>18</v>
      </c>
      <c r="F21" s="13" t="n">
        <v>9865</v>
      </c>
      <c r="G21" s="14" t="n">
        <f aca="false">D21*F21</f>
        <v>9865</v>
      </c>
      <c r="H21" s="15" t="s">
        <v>73</v>
      </c>
      <c r="I21" s="16" t="s">
        <v>74</v>
      </c>
      <c r="J21" s="15" t="s">
        <v>75</v>
      </c>
    </row>
    <row r="22" customFormat="false" ht="25.5" hidden="false" customHeight="true" outlineLevel="0" collapsed="false">
      <c r="A22" s="17"/>
      <c r="B22" s="18" t="s">
        <v>76</v>
      </c>
      <c r="C22" s="17"/>
      <c r="D22" s="17"/>
      <c r="E22" s="17"/>
      <c r="F22" s="17"/>
      <c r="G22" s="19" t="n">
        <f aca="false">SUM(G10:G21)</f>
        <v>88906</v>
      </c>
      <c r="H22" s="17"/>
      <c r="I22" s="17"/>
      <c r="J22" s="17"/>
    </row>
    <row r="24" customFormat="false" ht="21.75" hidden="false" customHeight="true" outlineLevel="0" collapsed="false">
      <c r="A24" s="20" t="s">
        <v>77</v>
      </c>
      <c r="B24" s="20"/>
      <c r="C24" s="20"/>
      <c r="D24" s="20"/>
      <c r="E24" s="20"/>
      <c r="F24" s="20"/>
      <c r="G24" s="20"/>
      <c r="H24" s="20"/>
      <c r="I24" s="20"/>
      <c r="J24" s="20"/>
    </row>
    <row r="25" customFormat="false" ht="31.5" hidden="false" customHeight="true" outlineLevel="0" collapsed="false">
      <c r="A25" s="8" t="s">
        <v>6</v>
      </c>
      <c r="B25" s="8" t="s">
        <v>7</v>
      </c>
      <c r="C25" s="8" t="s">
        <v>8</v>
      </c>
      <c r="D25" s="8" t="s">
        <v>9</v>
      </c>
      <c r="E25" s="8" t="s">
        <v>10</v>
      </c>
      <c r="F25" s="8" t="s">
        <v>11</v>
      </c>
      <c r="G25" s="8" t="s">
        <v>12</v>
      </c>
      <c r="H25" s="8" t="s">
        <v>13</v>
      </c>
      <c r="I25" s="8" t="s">
        <v>14</v>
      </c>
      <c r="J25" s="8" t="s">
        <v>15</v>
      </c>
    </row>
    <row r="26" customFormat="false" ht="55.5" hidden="false" customHeight="true" outlineLevel="0" collapsed="false">
      <c r="A26" s="21" t="s">
        <v>78</v>
      </c>
      <c r="B26" s="10" t="s">
        <v>79</v>
      </c>
      <c r="C26" s="11" t="s">
        <v>80</v>
      </c>
      <c r="D26" s="12" t="n">
        <v>12</v>
      </c>
      <c r="E26" s="9" t="s">
        <v>18</v>
      </c>
      <c r="F26" s="13" t="n">
        <v>295</v>
      </c>
      <c r="G26" s="22" t="n">
        <f aca="false">D26*F26</f>
        <v>3540</v>
      </c>
      <c r="H26" s="15" t="s">
        <v>81</v>
      </c>
      <c r="I26" s="16" t="s">
        <v>82</v>
      </c>
      <c r="J26" s="15" t="s">
        <v>83</v>
      </c>
    </row>
    <row r="27" customFormat="false" ht="55.5" hidden="false" customHeight="true" outlineLevel="0" collapsed="false">
      <c r="A27" s="21" t="s">
        <v>84</v>
      </c>
      <c r="B27" s="10" t="s">
        <v>85</v>
      </c>
      <c r="C27" s="11" t="s">
        <v>86</v>
      </c>
      <c r="D27" s="12" t="n">
        <v>1</v>
      </c>
      <c r="E27" s="9" t="s">
        <v>18</v>
      </c>
      <c r="F27" s="13" t="n">
        <v>11543</v>
      </c>
      <c r="G27" s="22" t="n">
        <f aca="false">D27*F27</f>
        <v>11543</v>
      </c>
      <c r="H27" s="15" t="s">
        <v>87</v>
      </c>
      <c r="I27" s="16" t="s">
        <v>88</v>
      </c>
      <c r="J27" s="15" t="s">
        <v>89</v>
      </c>
    </row>
    <row r="28" customFormat="false" ht="55.5" hidden="false" customHeight="true" outlineLevel="0" collapsed="false">
      <c r="A28" s="21" t="s">
        <v>90</v>
      </c>
      <c r="B28" s="10" t="s">
        <v>91</v>
      </c>
      <c r="C28" s="11" t="s">
        <v>92</v>
      </c>
      <c r="D28" s="12" t="n">
        <v>1</v>
      </c>
      <c r="E28" s="9" t="s">
        <v>18</v>
      </c>
      <c r="F28" s="13" t="n">
        <v>14760</v>
      </c>
      <c r="G28" s="22" t="n">
        <f aca="false">D28*F28</f>
        <v>14760</v>
      </c>
      <c r="H28" s="15" t="s">
        <v>93</v>
      </c>
      <c r="I28" s="16" t="s">
        <v>94</v>
      </c>
      <c r="J28" s="15" t="s">
        <v>95</v>
      </c>
    </row>
    <row r="29" customFormat="false" ht="55.5" hidden="false" customHeight="true" outlineLevel="0" collapsed="false">
      <c r="A29" s="21" t="s">
        <v>96</v>
      </c>
      <c r="B29" s="10" t="s">
        <v>97</v>
      </c>
      <c r="C29" s="11" t="s">
        <v>98</v>
      </c>
      <c r="D29" s="12" t="n">
        <v>1</v>
      </c>
      <c r="E29" s="9" t="s">
        <v>18</v>
      </c>
      <c r="F29" s="13" t="n">
        <v>2350</v>
      </c>
      <c r="G29" s="22" t="n">
        <f aca="false">D29*F29</f>
        <v>2350</v>
      </c>
      <c r="H29" s="15" t="s">
        <v>93</v>
      </c>
      <c r="I29" s="16" t="s">
        <v>99</v>
      </c>
      <c r="J29" s="15" t="s">
        <v>100</v>
      </c>
    </row>
    <row r="30" customFormat="false" ht="55.5" hidden="false" customHeight="true" outlineLevel="0" collapsed="false">
      <c r="A30" s="21" t="s">
        <v>101</v>
      </c>
      <c r="B30" s="10" t="s">
        <v>102</v>
      </c>
      <c r="C30" s="11" t="s">
        <v>103</v>
      </c>
      <c r="D30" s="12" t="n">
        <v>1</v>
      </c>
      <c r="E30" s="9" t="s">
        <v>18</v>
      </c>
      <c r="F30" s="13" t="n">
        <v>1700</v>
      </c>
      <c r="G30" s="22" t="n">
        <f aca="false">D30*F30</f>
        <v>1700</v>
      </c>
      <c r="H30" s="15" t="s">
        <v>93</v>
      </c>
      <c r="I30" s="16" t="s">
        <v>104</v>
      </c>
      <c r="J30" s="15" t="s">
        <v>105</v>
      </c>
    </row>
    <row r="31" customFormat="false" ht="55.5" hidden="false" customHeight="true" outlineLevel="0" collapsed="false">
      <c r="A31" s="21" t="s">
        <v>106</v>
      </c>
      <c r="B31" s="10" t="s">
        <v>107</v>
      </c>
      <c r="C31" s="11" t="s">
        <v>108</v>
      </c>
      <c r="D31" s="12" t="n">
        <v>1</v>
      </c>
      <c r="E31" s="9" t="s">
        <v>18</v>
      </c>
      <c r="F31" s="13" t="n">
        <v>22350</v>
      </c>
      <c r="G31" s="22" t="n">
        <f aca="false">D31*F31</f>
        <v>22350</v>
      </c>
      <c r="H31" s="15" t="s">
        <v>109</v>
      </c>
      <c r="I31" s="16" t="s">
        <v>110</v>
      </c>
      <c r="J31" s="15" t="s">
        <v>111</v>
      </c>
    </row>
    <row r="32" customFormat="false" ht="55.5" hidden="false" customHeight="true" outlineLevel="0" collapsed="false">
      <c r="A32" s="21" t="s">
        <v>112</v>
      </c>
      <c r="B32" s="10" t="s">
        <v>113</v>
      </c>
      <c r="C32" s="11" t="s">
        <v>114</v>
      </c>
      <c r="D32" s="12" t="n">
        <v>1</v>
      </c>
      <c r="E32" s="9" t="s">
        <v>18</v>
      </c>
      <c r="F32" s="13" t="n">
        <v>11100</v>
      </c>
      <c r="G32" s="22" t="n">
        <f aca="false">D32*F32</f>
        <v>11100</v>
      </c>
      <c r="H32" s="15" t="s">
        <v>115</v>
      </c>
      <c r="I32" s="16" t="s">
        <v>116</v>
      </c>
      <c r="J32" s="15" t="s">
        <v>117</v>
      </c>
    </row>
    <row r="33" customFormat="false" ht="55.5" hidden="false" customHeight="true" outlineLevel="0" collapsed="false">
      <c r="A33" s="21" t="s">
        <v>118</v>
      </c>
      <c r="B33" s="10" t="s">
        <v>119</v>
      </c>
      <c r="C33" s="11" t="s">
        <v>120</v>
      </c>
      <c r="D33" s="12" t="n">
        <v>621</v>
      </c>
      <c r="E33" s="9" t="s">
        <v>34</v>
      </c>
      <c r="F33" s="13" t="n">
        <v>43</v>
      </c>
      <c r="G33" s="22" t="n">
        <f aca="false">D33*F33</f>
        <v>26703</v>
      </c>
      <c r="H33" s="15" t="s">
        <v>121</v>
      </c>
      <c r="I33" s="16" t="s">
        <v>122</v>
      </c>
      <c r="J33" s="15" t="s">
        <v>123</v>
      </c>
    </row>
    <row r="34" customFormat="false" ht="55.5" hidden="false" customHeight="true" outlineLevel="0" collapsed="false">
      <c r="A34" s="21" t="s">
        <v>124</v>
      </c>
      <c r="B34" s="10" t="s">
        <v>125</v>
      </c>
      <c r="C34" s="11" t="s">
        <v>126</v>
      </c>
      <c r="D34" s="12" t="n">
        <v>144</v>
      </c>
      <c r="E34" s="9" t="s">
        <v>34</v>
      </c>
      <c r="F34" s="13" t="n">
        <v>46</v>
      </c>
      <c r="G34" s="22" t="n">
        <f aca="false">D34*F34</f>
        <v>6624</v>
      </c>
      <c r="H34" s="15" t="s">
        <v>121</v>
      </c>
      <c r="I34" s="16" t="s">
        <v>127</v>
      </c>
      <c r="J34" s="15" t="s">
        <v>128</v>
      </c>
    </row>
    <row r="35" customFormat="false" ht="55.5" hidden="false" customHeight="true" outlineLevel="0" collapsed="false">
      <c r="A35" s="21" t="s">
        <v>129</v>
      </c>
      <c r="B35" s="10" t="s">
        <v>130</v>
      </c>
      <c r="C35" s="11" t="s">
        <v>131</v>
      </c>
      <c r="D35" s="12" t="n">
        <v>261</v>
      </c>
      <c r="E35" s="9" t="s">
        <v>34</v>
      </c>
      <c r="F35" s="13" t="n">
        <v>43</v>
      </c>
      <c r="G35" s="22" t="n">
        <f aca="false">D35*F35</f>
        <v>11223</v>
      </c>
      <c r="H35" s="15" t="s">
        <v>121</v>
      </c>
      <c r="I35" s="16" t="s">
        <v>132</v>
      </c>
      <c r="J35" s="15" t="s">
        <v>133</v>
      </c>
    </row>
    <row r="36" customFormat="false" ht="55.5" hidden="false" customHeight="true" outlineLevel="0" collapsed="false">
      <c r="A36" s="21" t="s">
        <v>134</v>
      </c>
      <c r="B36" s="10" t="s">
        <v>135</v>
      </c>
      <c r="C36" s="11" t="s">
        <v>136</v>
      </c>
      <c r="D36" s="12" t="n">
        <v>1</v>
      </c>
      <c r="E36" s="9" t="s">
        <v>18</v>
      </c>
      <c r="F36" s="13" t="n">
        <v>3200</v>
      </c>
      <c r="G36" s="22" t="n">
        <f aca="false">D36*F36</f>
        <v>3200</v>
      </c>
      <c r="H36" s="15" t="s">
        <v>58</v>
      </c>
      <c r="I36" s="16" t="s">
        <v>137</v>
      </c>
      <c r="J36" s="15" t="s">
        <v>138</v>
      </c>
    </row>
    <row r="37" customFormat="false" ht="55.5" hidden="false" customHeight="true" outlineLevel="0" collapsed="false">
      <c r="A37" s="21" t="s">
        <v>139</v>
      </c>
      <c r="B37" s="10" t="s">
        <v>140</v>
      </c>
      <c r="C37" s="11" t="s">
        <v>141</v>
      </c>
      <c r="D37" s="12" t="n">
        <v>207</v>
      </c>
      <c r="E37" s="9" t="s">
        <v>34</v>
      </c>
      <c r="F37" s="13" t="n">
        <v>29</v>
      </c>
      <c r="G37" s="22" t="n">
        <f aca="false">D37*F37</f>
        <v>6003</v>
      </c>
      <c r="H37" s="15" t="s">
        <v>142</v>
      </c>
      <c r="I37" s="16" t="s">
        <v>143</v>
      </c>
      <c r="J37" s="15" t="s">
        <v>144</v>
      </c>
    </row>
    <row r="38" customFormat="false" ht="55.5" hidden="false" customHeight="true" outlineLevel="0" collapsed="false">
      <c r="A38" s="21" t="s">
        <v>145</v>
      </c>
      <c r="B38" s="10" t="s">
        <v>146</v>
      </c>
      <c r="C38" s="11" t="s">
        <v>147</v>
      </c>
      <c r="D38" s="12" t="n">
        <v>207</v>
      </c>
      <c r="E38" s="9" t="s">
        <v>34</v>
      </c>
      <c r="F38" s="13" t="n">
        <v>43</v>
      </c>
      <c r="G38" s="22" t="n">
        <f aca="false">D38*F38</f>
        <v>8901</v>
      </c>
      <c r="H38" s="15" t="s">
        <v>121</v>
      </c>
      <c r="I38" s="16" t="s">
        <v>148</v>
      </c>
      <c r="J38" s="15" t="s">
        <v>149</v>
      </c>
    </row>
    <row r="39" customFormat="false" ht="21.75" hidden="false" customHeight="true" outlineLevel="0" collapsed="false">
      <c r="A39" s="17"/>
      <c r="B39" s="23" t="s">
        <v>150</v>
      </c>
      <c r="C39" s="17"/>
      <c r="D39" s="17"/>
      <c r="E39" s="17"/>
      <c r="F39" s="17"/>
      <c r="G39" s="24" t="n">
        <f aca="false">SUM(G26:G38)</f>
        <v>129997</v>
      </c>
      <c r="H39" s="17"/>
      <c r="I39" s="17"/>
      <c r="J39" s="17"/>
    </row>
    <row r="41" customFormat="false" ht="21.75" hidden="false" customHeight="true" outlineLevel="0" collapsed="false">
      <c r="A41" s="4" t="s">
        <v>151</v>
      </c>
      <c r="B41" s="4"/>
      <c r="C41" s="4"/>
      <c r="D41" s="4"/>
      <c r="E41" s="4"/>
      <c r="F41" s="4"/>
      <c r="G41" s="4"/>
      <c r="H41" s="4"/>
      <c r="I41" s="4"/>
      <c r="J41" s="4"/>
    </row>
    <row r="42" customFormat="false" ht="30" hidden="false" customHeight="true" outlineLevel="0" collapsed="false">
      <c r="A42" s="17"/>
      <c r="B42" s="25" t="s">
        <v>152</v>
      </c>
      <c r="C42" s="17"/>
      <c r="D42" s="17"/>
      <c r="E42" s="17"/>
      <c r="F42" s="17"/>
      <c r="G42" s="26" t="n">
        <f aca="false">G22</f>
        <v>88906</v>
      </c>
      <c r="H42" s="17"/>
      <c r="I42" s="17"/>
      <c r="J42" s="17"/>
    </row>
    <row r="43" customFormat="false" ht="30" hidden="false" customHeight="true" outlineLevel="0" collapsed="false">
      <c r="A43" s="17"/>
      <c r="B43" s="25" t="s">
        <v>153</v>
      </c>
      <c r="C43" s="17"/>
      <c r="D43" s="17"/>
      <c r="E43" s="17"/>
      <c r="F43" s="17"/>
      <c r="G43" s="26" t="n">
        <f aca="false">G22+G26+G27+G33+G34+G35+G36+G37+G38</f>
        <v>166643</v>
      </c>
      <c r="H43" s="17"/>
      <c r="I43" s="17"/>
      <c r="J43" s="17"/>
    </row>
    <row r="44" customFormat="false" ht="30" hidden="false" customHeight="true" outlineLevel="0" collapsed="false">
      <c r="A44" s="17"/>
      <c r="B44" s="25" t="s">
        <v>154</v>
      </c>
      <c r="C44" s="17"/>
      <c r="D44" s="17"/>
      <c r="E44" s="17"/>
      <c r="F44" s="17"/>
      <c r="G44" s="26" t="n">
        <f aca="false">G22+G26+G27+G33+G34+G35+G36+G37+G38+G28+G29+G30+G31+G32-G20</f>
        <v>200249</v>
      </c>
      <c r="H44" s="17"/>
      <c r="I44" s="17"/>
      <c r="J44" s="17"/>
    </row>
    <row r="46" customFormat="false" ht="21.75" hidden="false" customHeight="true" outlineLevel="0" collapsed="false">
      <c r="A46" s="4" t="s">
        <v>155</v>
      </c>
      <c r="B46" s="4"/>
      <c r="C46" s="4"/>
      <c r="D46" s="4"/>
      <c r="E46" s="4"/>
      <c r="F46" s="4"/>
      <c r="G46" s="4"/>
      <c r="H46" s="4"/>
      <c r="I46" s="4"/>
      <c r="J46" s="4"/>
    </row>
    <row r="47" customFormat="false" ht="27.75" hidden="false" customHeight="true" outlineLevel="0" collapsed="false">
      <c r="A47" s="27" t="s">
        <v>156</v>
      </c>
      <c r="B47" s="27"/>
      <c r="C47" s="27"/>
      <c r="D47" s="27"/>
      <c r="E47" s="27"/>
      <c r="F47" s="27"/>
      <c r="G47" s="27"/>
      <c r="H47" s="27"/>
      <c r="I47" s="27"/>
      <c r="J47" s="27"/>
    </row>
    <row r="48" customFormat="false" ht="27.75" hidden="false" customHeight="true" outlineLevel="0" collapsed="false">
      <c r="A48" s="27" t="s">
        <v>157</v>
      </c>
      <c r="B48" s="27"/>
      <c r="C48" s="27"/>
      <c r="D48" s="27"/>
      <c r="E48" s="27"/>
      <c r="F48" s="27"/>
      <c r="G48" s="27"/>
      <c r="H48" s="27"/>
      <c r="I48" s="27"/>
      <c r="J48" s="27"/>
    </row>
    <row r="49" customFormat="false" ht="27.75" hidden="false" customHeight="true" outlineLevel="0" collapsed="false">
      <c r="A49" s="27" t="s">
        <v>158</v>
      </c>
      <c r="B49" s="27"/>
      <c r="C49" s="27"/>
      <c r="D49" s="27"/>
      <c r="E49" s="27"/>
      <c r="F49" s="27"/>
      <c r="G49" s="27"/>
      <c r="H49" s="27"/>
      <c r="I49" s="27"/>
      <c r="J49" s="27"/>
    </row>
    <row r="50" customFormat="false" ht="27.75" hidden="false" customHeight="true" outlineLevel="0" collapsed="false">
      <c r="A50" s="27" t="s">
        <v>159</v>
      </c>
      <c r="B50" s="27"/>
      <c r="C50" s="27"/>
      <c r="D50" s="27"/>
      <c r="E50" s="27"/>
      <c r="F50" s="27"/>
      <c r="G50" s="27"/>
      <c r="H50" s="27"/>
      <c r="I50" s="27"/>
      <c r="J50" s="27"/>
    </row>
    <row r="51" customFormat="false" ht="27.75" hidden="false" customHeight="true" outlineLevel="0" collapsed="false">
      <c r="A51" s="27" t="s">
        <v>160</v>
      </c>
      <c r="B51" s="27"/>
      <c r="C51" s="27"/>
      <c r="D51" s="27"/>
      <c r="E51" s="27"/>
      <c r="F51" s="27"/>
      <c r="G51" s="27"/>
      <c r="H51" s="27"/>
      <c r="I51" s="27"/>
      <c r="J51" s="27"/>
    </row>
    <row r="52" customFormat="false" ht="27.75" hidden="false" customHeight="true" outlineLevel="0" collapsed="false">
      <c r="A52" s="27" t="s">
        <v>161</v>
      </c>
      <c r="B52" s="27"/>
      <c r="C52" s="27"/>
      <c r="D52" s="27"/>
      <c r="E52" s="27"/>
      <c r="F52" s="27"/>
      <c r="G52" s="27"/>
      <c r="H52" s="27"/>
      <c r="I52" s="27"/>
      <c r="J52" s="27"/>
    </row>
    <row r="53" customFormat="false" ht="27.75" hidden="false" customHeight="true" outlineLevel="0" collapsed="false">
      <c r="A53" s="27" t="s">
        <v>162</v>
      </c>
      <c r="B53" s="27"/>
      <c r="C53" s="27"/>
      <c r="D53" s="27"/>
      <c r="E53" s="27"/>
      <c r="F53" s="27"/>
      <c r="G53" s="27"/>
      <c r="H53" s="27"/>
      <c r="I53" s="27"/>
      <c r="J53" s="27"/>
    </row>
    <row r="54" customFormat="false" ht="27.75" hidden="false" customHeight="true" outlineLevel="0" collapsed="false">
      <c r="A54" s="27" t="s">
        <v>163</v>
      </c>
      <c r="B54" s="27"/>
      <c r="C54" s="27"/>
      <c r="D54" s="27"/>
      <c r="E54" s="27"/>
      <c r="F54" s="27"/>
      <c r="G54" s="27"/>
      <c r="H54" s="27"/>
      <c r="I54" s="27"/>
      <c r="J54" s="27"/>
    </row>
    <row r="55" customFormat="false" ht="27.75" hidden="false" customHeight="true" outlineLevel="0" collapsed="false">
      <c r="A55" s="27" t="s">
        <v>164</v>
      </c>
      <c r="B55" s="27"/>
      <c r="C55" s="27"/>
      <c r="D55" s="27"/>
      <c r="E55" s="27"/>
      <c r="F55" s="27"/>
      <c r="G55" s="27"/>
      <c r="H55" s="27"/>
      <c r="I55" s="27"/>
      <c r="J55" s="27"/>
    </row>
    <row r="56" customFormat="false" ht="27.75" hidden="false" customHeight="true" outlineLevel="0" collapsed="false">
      <c r="A56" s="27" t="s">
        <v>165</v>
      </c>
      <c r="B56" s="27"/>
      <c r="C56" s="27"/>
      <c r="D56" s="27"/>
      <c r="E56" s="27"/>
      <c r="F56" s="27"/>
      <c r="G56" s="27"/>
      <c r="H56" s="27"/>
      <c r="I56" s="27"/>
      <c r="J56" s="27"/>
    </row>
    <row r="57" customFormat="false" ht="27.75" hidden="false" customHeight="true" outlineLevel="0" collapsed="false">
      <c r="A57" s="27" t="s">
        <v>166</v>
      </c>
      <c r="B57" s="27"/>
      <c r="C57" s="27"/>
      <c r="D57" s="27"/>
      <c r="E57" s="27"/>
      <c r="F57" s="27"/>
      <c r="G57" s="27"/>
      <c r="H57" s="27"/>
      <c r="I57" s="27"/>
      <c r="J57" s="27"/>
    </row>
    <row r="58" customFormat="false" ht="27.75" hidden="false" customHeight="true" outlineLevel="0" collapsed="false">
      <c r="A58" s="27" t="s">
        <v>167</v>
      </c>
      <c r="B58" s="27"/>
      <c r="C58" s="27"/>
      <c r="D58" s="27"/>
      <c r="E58" s="27"/>
      <c r="F58" s="27"/>
      <c r="G58" s="27"/>
      <c r="H58" s="27"/>
      <c r="I58" s="27"/>
      <c r="J58" s="27"/>
    </row>
    <row r="59" customFormat="false" ht="27.75" hidden="false" customHeight="true" outlineLevel="0" collapsed="false">
      <c r="A59" s="27" t="s">
        <v>168</v>
      </c>
      <c r="B59" s="27"/>
      <c r="C59" s="27"/>
      <c r="D59" s="27"/>
      <c r="E59" s="27"/>
      <c r="F59" s="27"/>
      <c r="G59" s="27"/>
      <c r="H59" s="27"/>
      <c r="I59" s="27"/>
      <c r="J59" s="27"/>
    </row>
  </sheetData>
  <mergeCells count="20">
    <mergeCell ref="A1:J1"/>
    <mergeCell ref="A2:J2"/>
    <mergeCell ref="A4:J4"/>
    <mergeCell ref="A8:J8"/>
    <mergeCell ref="A24:J24"/>
    <mergeCell ref="A41:J41"/>
    <mergeCell ref="A46:J46"/>
    <mergeCell ref="A47:J47"/>
    <mergeCell ref="A48:J48"/>
    <mergeCell ref="A49:J49"/>
    <mergeCell ref="A50:J50"/>
    <mergeCell ref="A51:J51"/>
    <mergeCell ref="A52:J52"/>
    <mergeCell ref="A53:J53"/>
    <mergeCell ref="A54:J54"/>
    <mergeCell ref="A55:J55"/>
    <mergeCell ref="A56:J56"/>
    <mergeCell ref="A57:J57"/>
    <mergeCell ref="A58:J58"/>
    <mergeCell ref="A59:J59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2026-04-30T23:42:35Z</dcterms:created>
  <dc:creator>openpyxl</dc:creator>
  <dc:description/>
  <dc:language>en-US</dc:language>
  <cp:lastModifiedBy/>
  <dcterms:modified xsi:type="dcterms:W3CDTF">2026-04-30T23:44:35Z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